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GCRAM Scratch\Hyunjung\Mercury\"/>
    </mc:Choice>
  </mc:AlternateContent>
  <xr:revisionPtr revIDLastSave="0" documentId="13_ncr:9_{B1DA2585-DFD9-4C71-AC3F-CBB1F082F693}" xr6:coauthVersionLast="47" xr6:coauthVersionMax="47" xr10:uidLastSave="{00000000-0000-0000-0000-000000000000}"/>
  <bookViews>
    <workbookView xWindow="-110" yWindow="-110" windowWidth="19420" windowHeight="11500" xr2:uid="{E3A7456D-2610-4BD9-A63C-481103D80303}"/>
  </bookViews>
  <sheets>
    <sheet name="sf2p" sheetId="1" r:id="rId1"/>
    <sheet name="tsmcn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3" i="2" l="1"/>
  <c r="C22" i="2"/>
  <c r="C21" i="2"/>
  <c r="C20" i="2"/>
  <c r="C6" i="2"/>
  <c r="C5" i="2"/>
  <c r="C4" i="2"/>
  <c r="C7" i="2"/>
</calcChain>
</file>

<file path=xl/sharedStrings.xml><?xml version="1.0" encoding="utf-8"?>
<sst xmlns="http://schemas.openxmlformats.org/spreadsheetml/2006/main" count="66" uniqueCount="28">
  <si>
    <t>vgn</t>
  </si>
  <si>
    <t>vds</t>
  </si>
  <si>
    <t>igidl</t>
  </si>
  <si>
    <t>ids</t>
  </si>
  <si>
    <t>igtot</t>
  </si>
  <si>
    <t>6sigma value</t>
  </si>
  <si>
    <t>vds=vdd</t>
  </si>
  <si>
    <t>nswnfetpd</t>
  </si>
  <si>
    <t>igidl, igtot std dv almost 0</t>
  </si>
  <si>
    <t xml:space="preserve">(thereby no 6sigma value) </t>
  </si>
  <si>
    <t>vg=0</t>
  </si>
  <si>
    <t>nswpfetpu</t>
  </si>
  <si>
    <t>vgp</t>
  </si>
  <si>
    <t>vd=0 vs=vdd</t>
  </si>
  <si>
    <t>vd=vdd vs=0</t>
  </si>
  <si>
    <t>(lkg_tb)</t>
  </si>
  <si>
    <t>(lkg_tb_1)</t>
  </si>
  <si>
    <t>(workspace 2)</t>
  </si>
  <si>
    <t>(workspace 4)</t>
  </si>
  <si>
    <t>nch_lvtll_mac</t>
  </si>
  <si>
    <t>vds sweep</t>
  </si>
  <si>
    <t>pch_lvtll_mac</t>
  </si>
  <si>
    <t>FF125</t>
  </si>
  <si>
    <t>VDD=0.77</t>
  </si>
  <si>
    <t>VDD=0.825</t>
  </si>
  <si>
    <t>running</t>
  </si>
  <si>
    <t>*Note: igidl and igtot std dv is very small -&gt; replaced by MC 1000 result(mean)</t>
  </si>
  <si>
    <t>vg=vdd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</si>
</sst>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FE87-5C8D-4DD1-9BAC-0B3BCCC84D5A}">
  <dimension ref="A1:M23"/>
  <sheetViews>
    <sheetView tabSelected="1" workbookViewId="0">
      <selection activeCell="L23" sqref="L23"/>
    </sheetView>
  </sheetViews>
  <sheetFormatPr defaultRowHeight="14.5" x14ac:dyDescent="0.35"/>
  <cols>
    <col min="1" max="1" width="11.90625" customWidth="1"/>
    <col min="2" max="2" width="22.90625" customWidth="1"/>
    <col min="4" max="4" width="11.26953125" customWidth="1"/>
    <col min="5" max="5" width="9.90625" customWidth="1"/>
    <col min="6" max="6" width="10.36328125" customWidth="1"/>
    <col min="9" max="9" width="14.54296875" customWidth="1"/>
    <col min="11" max="11" width="12" customWidth="1"/>
    <col min="12" max="12" width="11.90625" customWidth="1"/>
    <col min="13" max="13" width="11.26953125" customWidth="1"/>
  </cols>
  <sheetData>
    <row r="1" spans="1:13" x14ac:dyDescent="0.35">
      <c r="A1" t="s">
        <v>22</v>
      </c>
      <c r="B1" t="s">
        <v>5</v>
      </c>
      <c r="C1" t="s">
        <v>0</v>
      </c>
      <c r="D1" t="s">
        <v>3</v>
      </c>
      <c r="E1" t="s">
        <v>2</v>
      </c>
      <c r="F1" t="s">
        <v>4</v>
      </c>
      <c r="J1" t="s">
        <v>12</v>
      </c>
      <c r="K1" t="s">
        <v>3</v>
      </c>
      <c r="L1" t="s">
        <v>2</v>
      </c>
      <c r="M1" t="s">
        <v>4</v>
      </c>
    </row>
    <row r="2" spans="1:13" x14ac:dyDescent="0.35">
      <c r="A2" t="s">
        <v>23</v>
      </c>
      <c r="B2" t="s">
        <v>6</v>
      </c>
      <c r="C2">
        <v>0</v>
      </c>
      <c r="D2" s="1">
        <v>1.007E-8</v>
      </c>
      <c r="E2" s="1">
        <v>1.3169999999999999E-10</v>
      </c>
      <c r="F2" s="1">
        <v>-3.4710000000000001E-12</v>
      </c>
      <c r="J2">
        <v>0</v>
      </c>
      <c r="K2" s="1">
        <v>-2.2019999999999999E-5</v>
      </c>
      <c r="L2" s="1">
        <v>-5.8569999999999997E-44</v>
      </c>
      <c r="M2" s="1">
        <v>-8.8969999999999998E-12</v>
      </c>
    </row>
    <row r="3" spans="1:13" x14ac:dyDescent="0.35">
      <c r="B3" s="2" t="s">
        <v>7</v>
      </c>
      <c r="C3">
        <v>0.11</v>
      </c>
      <c r="D3" s="1">
        <v>1.7140000000000001E-7</v>
      </c>
      <c r="E3" s="1">
        <v>2.3780000000000001E-11</v>
      </c>
      <c r="F3" s="1">
        <v>-2.2440000000000001E-12</v>
      </c>
      <c r="I3" s="2" t="s">
        <v>11</v>
      </c>
      <c r="J3">
        <v>0.11</v>
      </c>
      <c r="K3" s="1">
        <v>-1.1080000000000001E-5</v>
      </c>
      <c r="L3" s="1">
        <v>-1.234E-22</v>
      </c>
      <c r="M3" s="1">
        <v>-5.3309999999999998E-12</v>
      </c>
    </row>
    <row r="4" spans="1:13" x14ac:dyDescent="0.35">
      <c r="B4" t="s">
        <v>8</v>
      </c>
      <c r="C4">
        <v>0.22</v>
      </c>
      <c r="D4" s="1">
        <v>1.9980000000000002E-6</v>
      </c>
      <c r="E4" s="1">
        <v>5.828E-13</v>
      </c>
      <c r="F4" s="1">
        <v>-1.255E-12</v>
      </c>
      <c r="I4" t="s">
        <v>13</v>
      </c>
      <c r="J4">
        <v>0.22</v>
      </c>
      <c r="K4" s="1">
        <v>-3.3280000000000002E-6</v>
      </c>
      <c r="L4" s="1">
        <v>-2.4799999999999999E-16</v>
      </c>
      <c r="M4" s="1">
        <v>-2.9630000000000002E-12</v>
      </c>
    </row>
    <row r="5" spans="1:13" x14ac:dyDescent="0.35">
      <c r="B5" t="s">
        <v>9</v>
      </c>
      <c r="C5">
        <v>0.33</v>
      </c>
      <c r="D5" s="1">
        <v>1.04E-5</v>
      </c>
      <c r="E5" s="1">
        <v>2.9389999999999998E-19</v>
      </c>
      <c r="F5" s="1">
        <v>-4.0169999999999999E-13</v>
      </c>
      <c r="I5" s="3" t="s">
        <v>16</v>
      </c>
      <c r="J5">
        <v>0.33</v>
      </c>
      <c r="K5" s="1">
        <v>-4.8255000000000004E-7</v>
      </c>
      <c r="L5" s="1">
        <v>-8.5640000000000002E-14</v>
      </c>
      <c r="M5" s="1">
        <v>-1.4940000000000001E-12</v>
      </c>
    </row>
    <row r="6" spans="1:13" x14ac:dyDescent="0.35">
      <c r="B6" t="s">
        <v>14</v>
      </c>
      <c r="C6">
        <v>0.44</v>
      </c>
      <c r="D6" s="1">
        <v>2.7120000000000001E-5</v>
      </c>
      <c r="E6" s="1">
        <v>0</v>
      </c>
      <c r="F6" s="1">
        <v>9.5850000000000001E-13</v>
      </c>
      <c r="I6" t="s">
        <v>17</v>
      </c>
      <c r="J6">
        <v>0.44</v>
      </c>
      <c r="K6" s="1">
        <v>-3.4739999999999999E-8</v>
      </c>
      <c r="L6" s="1">
        <v>-2.1480000000000001E-12</v>
      </c>
      <c r="M6" s="1">
        <v>-2.8660000000000001E-13</v>
      </c>
    </row>
    <row r="7" spans="1:13" x14ac:dyDescent="0.35">
      <c r="C7">
        <v>0.55000000000000004</v>
      </c>
      <c r="D7" s="1">
        <v>4.6090000000000001E-5</v>
      </c>
      <c r="E7" s="1">
        <v>0</v>
      </c>
      <c r="F7" s="1">
        <v>2.5400000000000001E-12</v>
      </c>
      <c r="J7">
        <v>0.55000000000000004</v>
      </c>
      <c r="K7" s="1">
        <v>-1.7140000000000001E-9</v>
      </c>
      <c r="L7" s="1">
        <v>-1.6970000000000001E-11</v>
      </c>
      <c r="M7" s="1">
        <v>9.1090000000000009E-13</v>
      </c>
    </row>
    <row r="8" spans="1:13" x14ac:dyDescent="0.35">
      <c r="C8">
        <v>0.66</v>
      </c>
      <c r="D8" s="1">
        <v>6.6169999999999998E-5</v>
      </c>
      <c r="E8" s="1">
        <v>0</v>
      </c>
      <c r="F8" s="1">
        <v>4.9480000000000003E-12</v>
      </c>
      <c r="J8">
        <v>0.66</v>
      </c>
      <c r="K8" s="1">
        <v>-7.0580000000000003E-11</v>
      </c>
      <c r="L8" s="1">
        <v>-7.3539999999999999E-11</v>
      </c>
      <c r="M8" s="1">
        <v>1.545E-12</v>
      </c>
    </row>
    <row r="9" spans="1:13" x14ac:dyDescent="0.35">
      <c r="C9">
        <v>0.77</v>
      </c>
      <c r="D9" s="1">
        <v>8.6160000000000002E-5</v>
      </c>
      <c r="E9" s="1">
        <v>0</v>
      </c>
      <c r="F9" s="1">
        <v>8.8410000000000008E-12</v>
      </c>
      <c r="J9">
        <v>0.77</v>
      </c>
      <c r="K9" s="1">
        <v>-3.0540000000000001E-12</v>
      </c>
      <c r="L9" s="1">
        <v>-2.1949999999999999E-10</v>
      </c>
      <c r="M9" s="1">
        <v>2.2810000000000001E-12</v>
      </c>
    </row>
    <row r="12" spans="1:13" x14ac:dyDescent="0.35">
      <c r="B12" t="s">
        <v>26</v>
      </c>
    </row>
    <row r="15" spans="1:13" x14ac:dyDescent="0.35">
      <c r="B15" t="s">
        <v>10</v>
      </c>
      <c r="C15" t="s">
        <v>1</v>
      </c>
      <c r="D15" t="s">
        <v>3</v>
      </c>
      <c r="E15" t="s">
        <v>2</v>
      </c>
      <c r="F15" t="s">
        <v>4</v>
      </c>
      <c r="I15" t="s">
        <v>27</v>
      </c>
      <c r="J15" t="s">
        <v>1</v>
      </c>
      <c r="K15" t="s">
        <v>3</v>
      </c>
      <c r="L15" t="s">
        <v>2</v>
      </c>
      <c r="M15" t="s">
        <v>4</v>
      </c>
    </row>
    <row r="16" spans="1:13" x14ac:dyDescent="0.35">
      <c r="D16" s="1"/>
      <c r="J16">
        <v>0</v>
      </c>
      <c r="K16" s="1">
        <v>-3.526E-10</v>
      </c>
      <c r="L16" s="1">
        <v>-2.19489E-10</v>
      </c>
      <c r="M16" s="1">
        <v>2.2749999999999999E-12</v>
      </c>
    </row>
    <row r="17" spans="2:13" x14ac:dyDescent="0.35">
      <c r="B17" s="2" t="s">
        <v>7</v>
      </c>
      <c r="C17">
        <v>0.11</v>
      </c>
      <c r="D17" s="1">
        <v>2.0571399999999999E-10</v>
      </c>
      <c r="E17" s="1">
        <v>3.9649999999999998E-104</v>
      </c>
      <c r="F17" s="1">
        <v>-3.8100000000000003E-14</v>
      </c>
      <c r="I17" s="2" t="s">
        <v>11</v>
      </c>
      <c r="J17">
        <v>0.11</v>
      </c>
      <c r="K17" s="1">
        <v>-3.2678099999999999E-10</v>
      </c>
      <c r="L17" s="1">
        <v>-5.625E-11</v>
      </c>
      <c r="M17" s="1">
        <v>1.6610000000000001E-12</v>
      </c>
    </row>
    <row r="18" spans="2:13" x14ac:dyDescent="0.35">
      <c r="C18">
        <v>0.22</v>
      </c>
      <c r="D18" s="1">
        <v>2.5342599999999999E-10</v>
      </c>
      <c r="E18" s="1">
        <v>3.1150000000000001E-103</v>
      </c>
      <c r="F18" s="1">
        <v>-1.6749999999999999E-13</v>
      </c>
      <c r="J18">
        <v>0.22</v>
      </c>
      <c r="K18" s="1">
        <v>-2.9981400000000001E-10</v>
      </c>
      <c r="L18" s="1">
        <v>-8.875E-12</v>
      </c>
      <c r="M18" s="1">
        <v>1.148E-12</v>
      </c>
    </row>
    <row r="19" spans="2:13" x14ac:dyDescent="0.35">
      <c r="B19" t="s">
        <v>15</v>
      </c>
      <c r="C19">
        <v>0.33</v>
      </c>
      <c r="D19" s="1">
        <v>3.0383600000000002E-10</v>
      </c>
      <c r="E19" s="1">
        <v>1.0019999999999999E-102</v>
      </c>
      <c r="F19" s="1">
        <v>-4.16111E-13</v>
      </c>
      <c r="J19">
        <v>0.33</v>
      </c>
      <c r="K19" s="1">
        <v>-2.717E-10</v>
      </c>
      <c r="L19" s="1">
        <v>-6.5519999999999997E-13</v>
      </c>
      <c r="M19" s="1">
        <v>7.3282099999999997E-13</v>
      </c>
    </row>
    <row r="20" spans="2:13" x14ac:dyDescent="0.35">
      <c r="B20" t="s">
        <v>18</v>
      </c>
      <c r="C20">
        <v>0.44</v>
      </c>
      <c r="D20" s="1">
        <v>3.5940000000000002E-10</v>
      </c>
      <c r="E20" s="1">
        <v>8.9600000000000001E-20</v>
      </c>
      <c r="F20" s="1">
        <v>-8.1929999999999995E-13</v>
      </c>
      <c r="J20">
        <v>0.44</v>
      </c>
      <c r="K20" s="1">
        <v>-2.4276200000000001E-10</v>
      </c>
      <c r="L20" s="1">
        <v>-1.1999999999999999E-14</v>
      </c>
      <c r="M20" s="1">
        <v>4.1169899999999998E-13</v>
      </c>
    </row>
    <row r="21" spans="2:13" x14ac:dyDescent="0.35">
      <c r="C21">
        <v>0.55000000000000004</v>
      </c>
      <c r="D21" s="1">
        <v>4.2123E-10</v>
      </c>
      <c r="E21" s="1">
        <v>3.0488099999999998E-13</v>
      </c>
      <c r="F21" s="1">
        <v>-1.42224E-12</v>
      </c>
      <c r="J21">
        <v>0.55000000000000004</v>
      </c>
      <c r="K21" s="1">
        <v>-2.1259999999999999E-10</v>
      </c>
      <c r="L21" s="1">
        <v>-1.1249999999999999E-17</v>
      </c>
      <c r="M21" s="1">
        <v>1.8311599999999999E-13</v>
      </c>
    </row>
    <row r="22" spans="2:13" x14ac:dyDescent="0.35">
      <c r="C22">
        <v>0.66</v>
      </c>
      <c r="D22" s="1">
        <v>4.8981700000000005E-10</v>
      </c>
      <c r="E22" s="1">
        <v>1.8186599999999999E-11</v>
      </c>
      <c r="F22" s="1">
        <v>-2.28E-12</v>
      </c>
      <c r="J22">
        <v>0.66</v>
      </c>
      <c r="K22" s="1">
        <v>-1.7985700000000001E-10</v>
      </c>
      <c r="L22" s="1">
        <v>-1.25E-24</v>
      </c>
      <c r="M22" s="1">
        <v>4.6009999999999998E-14</v>
      </c>
    </row>
    <row r="23" spans="2:13" x14ac:dyDescent="0.35">
      <c r="C23">
        <v>0.77</v>
      </c>
      <c r="D23" s="1">
        <v>5.6595500000000004E-10</v>
      </c>
      <c r="E23" s="1">
        <v>1.3169999999999999E-10</v>
      </c>
      <c r="F23" s="1">
        <v>-3.47E-12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319C6-05B3-40BF-9A89-6AEA8A4C5C0D}">
  <dimension ref="A1:L23"/>
  <sheetViews>
    <sheetView topLeftCell="A7" workbookViewId="0">
      <selection activeCell="F25" sqref="F25"/>
    </sheetView>
  </sheetViews>
  <sheetFormatPr defaultRowHeight="14.5" x14ac:dyDescent="0.35"/>
  <cols>
    <col min="1" max="1" width="11.90625" customWidth="1"/>
    <col min="2" max="2" width="23.08984375" customWidth="1"/>
    <col min="3" max="3" width="11.7265625" customWidth="1"/>
    <col min="4" max="4" width="9.90625" customWidth="1"/>
    <col min="5" max="6" width="12.90625" customWidth="1"/>
    <col min="8" max="8" width="15.54296875" customWidth="1"/>
  </cols>
  <sheetData>
    <row r="1" spans="1:12" x14ac:dyDescent="0.35">
      <c r="A1" t="s">
        <v>22</v>
      </c>
      <c r="B1" t="s">
        <v>5</v>
      </c>
      <c r="C1" t="s">
        <v>0</v>
      </c>
      <c r="D1" t="s">
        <v>3</v>
      </c>
      <c r="E1" t="s">
        <v>2</v>
      </c>
      <c r="F1" t="s">
        <v>4</v>
      </c>
      <c r="I1" t="s">
        <v>12</v>
      </c>
      <c r="J1" t="s">
        <v>3</v>
      </c>
      <c r="K1" t="s">
        <v>2</v>
      </c>
      <c r="L1" t="s">
        <v>4</v>
      </c>
    </row>
    <row r="2" spans="1:12" x14ac:dyDescent="0.35">
      <c r="C2">
        <v>0</v>
      </c>
      <c r="D2" s="1">
        <v>2.051E-7</v>
      </c>
      <c r="E2" s="1">
        <v>7.2769999999999998E-12</v>
      </c>
      <c r="F2" s="1">
        <v>-3.5939999999999998E-12</v>
      </c>
    </row>
    <row r="3" spans="1:12" x14ac:dyDescent="0.35">
      <c r="A3" t="s">
        <v>24</v>
      </c>
      <c r="B3" t="s">
        <v>6</v>
      </c>
      <c r="C3">
        <v>0.16500000000000001</v>
      </c>
      <c r="D3" s="1">
        <v>6.5019999999999998E-6</v>
      </c>
      <c r="E3" s="1">
        <v>1.9329999999999999E-13</v>
      </c>
      <c r="F3" s="1">
        <v>-7.6289999999999999E-12</v>
      </c>
      <c r="I3">
        <v>0.16500000000000001</v>
      </c>
      <c r="J3" s="1"/>
      <c r="K3" s="1"/>
      <c r="L3" s="1"/>
    </row>
    <row r="4" spans="1:12" x14ac:dyDescent="0.35">
      <c r="B4" s="2" t="s">
        <v>19</v>
      </c>
      <c r="C4">
        <f>C3*2</f>
        <v>0.33</v>
      </c>
      <c r="D4" s="1">
        <v>4.138E-5</v>
      </c>
      <c r="E4" s="1">
        <v>3.2080000000000002E-17</v>
      </c>
      <c r="F4" s="1">
        <v>7.9529999999999995E-13</v>
      </c>
      <c r="H4" s="2" t="s">
        <v>21</v>
      </c>
      <c r="I4">
        <v>0.33</v>
      </c>
      <c r="J4" s="1"/>
      <c r="K4" s="1"/>
      <c r="L4" s="1"/>
    </row>
    <row r="5" spans="1:12" x14ac:dyDescent="0.35">
      <c r="B5" t="s">
        <v>8</v>
      </c>
      <c r="C5">
        <f>C3*3</f>
        <v>0.495</v>
      </c>
      <c r="D5" s="1">
        <v>1.091E-4</v>
      </c>
      <c r="E5" s="1">
        <v>9.4240000000000001E-43</v>
      </c>
      <c r="F5" s="1">
        <v>8.6820000000000004E-12</v>
      </c>
      <c r="H5" t="s">
        <v>13</v>
      </c>
      <c r="I5">
        <v>0.495</v>
      </c>
    </row>
    <row r="6" spans="1:12" x14ac:dyDescent="0.35">
      <c r="B6" t="s">
        <v>9</v>
      </c>
      <c r="C6">
        <f>C3*4</f>
        <v>0.66</v>
      </c>
      <c r="D6" s="1">
        <v>1.894E-4</v>
      </c>
      <c r="E6" s="1">
        <v>2.6889999999999999E-86</v>
      </c>
      <c r="F6" s="1">
        <v>3.5370000000000003E-11</v>
      </c>
      <c r="H6" s="3"/>
      <c r="I6">
        <v>0.66</v>
      </c>
    </row>
    <row r="7" spans="1:12" x14ac:dyDescent="0.35">
      <c r="B7" t="s">
        <v>14</v>
      </c>
      <c r="C7">
        <f>C3*5</f>
        <v>0.82500000000000007</v>
      </c>
      <c r="D7" s="1">
        <v>2.7339999999999998E-4</v>
      </c>
      <c r="E7" s="1">
        <v>2.684E-86</v>
      </c>
      <c r="F7" s="1">
        <v>1.134E-10</v>
      </c>
      <c r="I7">
        <v>0.82500000000000007</v>
      </c>
    </row>
    <row r="8" spans="1:12" x14ac:dyDescent="0.35">
      <c r="D8" s="1"/>
      <c r="E8" s="1"/>
      <c r="F8" s="1"/>
    </row>
    <row r="9" spans="1:12" x14ac:dyDescent="0.35">
      <c r="D9" s="1"/>
      <c r="E9" s="1"/>
      <c r="F9" s="1"/>
    </row>
    <row r="10" spans="1:12" x14ac:dyDescent="0.35">
      <c r="D10" s="1"/>
      <c r="E10" s="1"/>
      <c r="F10" s="1"/>
    </row>
    <row r="18" spans="2:12" x14ac:dyDescent="0.35">
      <c r="B18" t="s">
        <v>10</v>
      </c>
      <c r="C18" t="s">
        <v>1</v>
      </c>
      <c r="D18" t="s">
        <v>3</v>
      </c>
      <c r="E18" t="s">
        <v>2</v>
      </c>
      <c r="F18" t="s">
        <v>4</v>
      </c>
      <c r="H18" s="2" t="s">
        <v>11</v>
      </c>
      <c r="I18" t="s">
        <v>12</v>
      </c>
      <c r="J18" t="s">
        <v>3</v>
      </c>
      <c r="K18" t="s">
        <v>2</v>
      </c>
      <c r="L18" t="s">
        <v>4</v>
      </c>
    </row>
    <row r="19" spans="2:12" x14ac:dyDescent="0.35">
      <c r="B19" t="s">
        <v>20</v>
      </c>
      <c r="C19">
        <v>0.16500000000000001</v>
      </c>
      <c r="D19" s="1"/>
      <c r="I19">
        <v>0.16500000000000001</v>
      </c>
      <c r="J19" s="1"/>
      <c r="K19" s="1"/>
      <c r="L19" s="1"/>
    </row>
    <row r="20" spans="2:12" x14ac:dyDescent="0.35">
      <c r="B20" s="2" t="s">
        <v>19</v>
      </c>
      <c r="C20">
        <f>C19*2</f>
        <v>0.33</v>
      </c>
      <c r="I20">
        <v>0.33</v>
      </c>
      <c r="J20" s="1"/>
      <c r="K20" s="1"/>
      <c r="L20" s="1"/>
    </row>
    <row r="21" spans="2:12" x14ac:dyDescent="0.35">
      <c r="B21" s="3" t="s">
        <v>25</v>
      </c>
      <c r="C21">
        <f>C19*3</f>
        <v>0.495</v>
      </c>
      <c r="I21">
        <v>0.495</v>
      </c>
    </row>
    <row r="22" spans="2:12" x14ac:dyDescent="0.35">
      <c r="C22">
        <f>C19*4</f>
        <v>0.66</v>
      </c>
      <c r="I22">
        <v>0.66</v>
      </c>
    </row>
    <row r="23" spans="2:12" x14ac:dyDescent="0.35">
      <c r="C23">
        <f>C19*5</f>
        <v>0.82500000000000007</v>
      </c>
      <c r="I23">
        <v>0.82500000000000007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sf2p</vt:lpstr>
      <vt:lpstr>tsmcn2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Hyunjung Hwang</dc:creator>
  <cp:lastModifiedBy>Hyunjung Hwang</cp:lastModifiedBy>
  <dcterms:created xsi:type="dcterms:W3CDTF">2026-09-02T07:23:38Z</dcterms:created>
  <dcterms:modified xsi:type="dcterms:W3CDTF">2026-09-03T09:20:57Z</dcterms:modified>
</cp:coreProperties>
</file>